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207f0a6c8aa84851"/>
    <x:sheet xmlns:r="http://schemas.openxmlformats.org/officeDocument/2006/relationships" name="Checklist" sheetId="2" r:id="Rc6b027e191f246ac"/>
    <x:sheet xmlns:r="http://schemas.openxmlformats.org/officeDocument/2006/relationships" name="Rastreabilidade" sheetId="3" r:id="Rb7effd47a9d342a4"/>
    <x:sheet xmlns:r="http://schemas.openxmlformats.org/officeDocument/2006/relationships" name="Riscos" sheetId="4" r:id="Re0e3a7c4f42e439e"/>
    <x:sheet xmlns:r="http://schemas.openxmlformats.org/officeDocument/2006/relationships" name="Fontes" sheetId="5" r:id="Rf4f59bc0a045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0">
    <x:border/>
    <x:border/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bottom/>
    </x:border>
    <x:border>
      <x:bottom/>
    </x:border>
    <x:border>
      <x:top/>
      <x:bottom/>
    </x:border>
    <x:border>
      <x:top/>
      <x:bottom/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8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2d436c6cb40dd" /><Relationship Type="http://schemas.openxmlformats.org/officeDocument/2006/relationships/theme" Target="/xl/theme/theme1.xml" Id="R22e10c4f799942f2" /><Relationship Type="http://schemas.openxmlformats.org/officeDocument/2006/relationships/sharedStrings" Target="/xl/sharedStrings.xml" Id="Rdef368d43b164fee" /><Relationship Type="http://schemas.openxmlformats.org/officeDocument/2006/relationships/worksheet" Target="/xl/worksheets/sheet1.xml" Id="R207f0a6c8aa84851" /><Relationship Type="http://schemas.openxmlformats.org/officeDocument/2006/relationships/worksheet" Target="/xl/worksheets/sheet2.xml" Id="Rc6b027e191f246ac" /><Relationship Type="http://schemas.openxmlformats.org/officeDocument/2006/relationships/worksheet" Target="/xl/worksheets/sheet3.xml" Id="Rb7effd47a9d342a4" /><Relationship Type="http://schemas.openxmlformats.org/officeDocument/2006/relationships/worksheet" Target="/xl/worksheets/sheet4.xml" Id="Re0e3a7c4f42e439e" /><Relationship Type="http://schemas.openxmlformats.org/officeDocument/2006/relationships/worksheet" Target="/xl/worksheets/sheet5.xml" Id="Rf4f59bc0a045429d" /></Relationships>
</file>

<file path=xl/tables/table1.xml><?xml version="1.0" encoding="utf-8"?>
<x:table xmlns:x="http://schemas.openxmlformats.org/spreadsheetml/2006/main" id="1" name="Checklist2024Table" displayName="Checklist2024Table" ref="A3:F38" headerRowCount="1" totalsRowCount="0" totalsRowShown="0">
  <x:tableColumns count="6">
    <x:tableColumn id="1" name="Item"/>
    <x:tableColumn id="2" name="Status"/>
    <x:tableColumn id="3" name="Evidência"/>
    <x:tableColumn id="4" name="Observação"/>
    <x:tableColumn id="5" name="Comprovável agora?"/>
    <x:tableColumn id="6" name="Ação/Pendê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ceabilityTable" displayName="TraceabilityTable" ref="A3:H8" headerRowCount="1" totalsRowCount="0" totalsRowShown="0">
  <x:tableColumns count="8">
    <x:tableColumn id="1" name="Função"/>
    <x:tableColumn id="2" name="Funcionalidade essencial"/>
    <x:tableColumn id="3" name="RF associados"/>
    <x:tableColumn id="4" name="RNF associados"/>
    <x:tableColumn id="5" name="Rotas/artefatos"/>
    <x:tableColumn id="6" name="Testes"/>
    <x:tableColumn id="7" name="Critério de aceite"/>
    <x:tableColumn id="8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Table" displayName="RiskTable" ref="A3:L13" headerRowCount="1" totalsRowCount="0" totalsRowShown="0">
  <x:tableColumns count="12">
    <x:tableColumn id="1" name="ID"/>
    <x:tableColumn id="2" name="Risco"/>
    <x:tableColumn id="3" name="Causa"/>
    <x:tableColumn id="4" name="Consequência"/>
    <x:tableColumn id="5" name="P"/>
    <x:tableColumn id="6" name="I"/>
    <x:tableColumn id="7" name="Score"/>
    <x:tableColumn id="8" name="Classe"/>
    <x:tableColumn id="9" name="Responsável"/>
    <x:tableColumn id="10" name="Prevenção"/>
    <x:tableColumn id="11" name="Contingência"/>
    <x:tableColumn id="12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e076fbd04545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a10cc7587143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5505be77a34ec4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2" hidden="0" customWidth="1"/>
    <x:col min="4" max="4" width="26" hidden="0" customWidth="1"/>
    <x:col min="5" max="5" width="34" hidden="0" customWidth="1"/>
  </x:cols>
  <x:sheetData>
    <x:row r="1" ht="30" customHeight="1">
      <x:c r="A1" s="5" t="str">
        <x:v>SAFE STUDENT - Checklist, Riscos e Rastreabilidade V1.1</x:v>
      </x:c>
      <x:c r="B1" s="5" t="str">
        <x:v>SAFE STUDENT - Checklist, Riscos e Rastreabilidade V1.1</x:v>
      </x:c>
      <x:c r="C1" s="5" t="str">
        <x:v>SAFE STUDENT - Checklist, Riscos e Rastreabilidade V1.1</x:v>
      </x:c>
      <x:c r="D1" s="5" t="str">
        <x:v>SAFE STUDENT - Checklist, Riscos e Rastreabilidade V1.1</x:v>
      </x:c>
      <x:c r="E1" s="5" t="str">
        <x:v>SAFE STUDENT - Checklist, Riscos e Rastreabilidade V1.1</x:v>
      </x:c>
      <x:c r="F1" s="5" t="str">
        <x:v>SAFE STUDENT - Checklist, Riscos e Rastreabilidade V1.1</x:v>
      </x:c>
      <x:c r="G1" s="5" t="str">
        <x:v>SAFE STUDENT - Checklist, Riscos e Rastreabilidade V1.1</x:v>
      </x:c>
      <x:c r="H1" s="5" t="str">
        <x:v>SAFE STUDENT - Checklist, Riscos e Rastreabilidade V1.1</x:v>
      </x:c>
    </x:row>
    <x:row r="3">
      <x:c r="A3" s="18" t="str">
        <x:v>Indicador</x:v>
      </x:c>
      <x:c r="B3" s="19" t="str">
        <x:v>Valor</x:v>
      </x:c>
      <x:c r="D3" s="18" t="str">
        <x:v>Indicador</x:v>
      </x:c>
      <x:c r="E3" s="19" t="str">
        <x:v>Fórmula/Resultado</x:v>
      </x:c>
    </x:row>
    <x:row r="4">
      <x:c r="A4" s="32" t="str">
        <x:v>Itens principais do template 2024-2</x:v>
      </x:c>
      <x:c r="B4" s="32" t="n">
        <x:v>35</x:v>
      </x:c>
      <x:c r="D4" s="32" t="str">
        <x:v>Taxa de aderência estrutural</x:v>
      </x:c>
      <x:c r="E4" s="40" t="n">
        <x:f>B5/B4</x:f>
        <x:v>0.9714285714285714</x:v>
      </x:c>
    </x:row>
    <x:row r="5">
      <x:c r="A5" s="32" t="str">
        <x:v>Itens atendidos/estruturados</x:v>
      </x:c>
      <x:c r="B5" s="32" t="n">
        <x:v>34</x:v>
      </x:c>
      <x:c r="D5" s="32" t="str">
        <x:v>Riscos críticos</x:v>
      </x:c>
      <x:c r="E5" s="32" t="n">
        <x:f>COUNTIF(Riscos!H4:H13,"Crítico")</x:f>
        <x:v>3</x:v>
      </x:c>
    </x:row>
    <x:row r="6">
      <x:c r="A6" s="32" t="str">
        <x:v>Itens parciais</x:v>
      </x:c>
      <x:c r="B6" s="32" t="n">
        <x:v>1</x:v>
      </x:c>
      <x:c r="D6" s="32" t="str">
        <x:v>Riscos altos</x:v>
      </x:c>
      <x:c r="E6" s="32" t="n">
        <x:f>COUNTIF(Riscos!H4:H13,"Alto")</x:f>
        <x:v>5</x:v>
      </x:c>
    </x:row>
    <x:row r="7">
      <x:c r="A7" s="32" t="str">
        <x:v>Funcionalidades essenciais do MVP</x:v>
      </x:c>
      <x:c r="B7" s="32" t="n">
        <x:v>5</x:v>
      </x:c>
      <x:c r="D7" s="32" t="str">
        <x:v>Riscos moderados</x:v>
      </x:c>
      <x:c r="E7" s="32" t="n">
        <x:f>COUNTIF(Riscos!H4:H13,"Moderado")</x:f>
        <x:v>2</x:v>
      </x:c>
    </x:row>
    <x:row r="8">
      <x:c r="A8" s="34" t="str">
        <x:v>Riscos monitorados</x:v>
      </x:c>
      <x:c r="B8" s="34" t="n">
        <x:v>10</x:v>
      </x:c>
      <x:c r="D8" s="34" t="str">
        <x:v>Pendência humana crítica</x:v>
      </x:c>
      <x:c r="E8" s="34" t="str">
        <x:v>Evidência primária da pesquisa de campo</x:v>
      </x:c>
    </x:row>
    <x:row r="10">
      <x:c r="A10" s="43" t="str">
        <x:v>Parecer de auditoria</x:v>
      </x:c>
      <x:c r="B10" s="43" t="str"/>
      <x:c r="C10" s="43" t="str"/>
      <x:c r="D10" s="43" t="str"/>
      <x:c r="E10" s="43" t="str"/>
      <x:c r="F10" s="43" t="str"/>
      <x:c r="G10" s="43" t="str"/>
      <x:c r="H10" s="43" t="str"/>
    </x:row>
    <x:row r="11">
      <x:c r="A11" s="32" t="str">
        <x:v>MVP/código</x:v>
      </x:c>
      <x:c r="B11" s="32" t="str">
        <x:v>Pronto para demonstração acadêmica após CI verde.</x:v>
      </x:c>
      <x:c r="C11" s="32" t="str"/>
      <x:c r="D11" s="32" t="str"/>
      <x:c r="E11" s="32" t="str"/>
      <x:c r="F11" s="32" t="str"/>
      <x:c r="G11" s="32" t="str"/>
      <x:c r="H11" s="32" t="str"/>
    </x:row>
    <x:row r="12">
      <x:c r="A12" s="32" t="str">
        <x:v>Documentação estrutural</x:v>
      </x:c>
      <x:c r="B12" s="32" t="str">
        <x:v>Aderente aos templates após revisão V1.1.</x:v>
      </x:c>
      <x:c r="C12" s="32" t="str"/>
      <x:c r="D12" s="32" t="str"/>
      <x:c r="E12" s="32" t="str"/>
      <x:c r="F12" s="32" t="str"/>
      <x:c r="G12" s="32" t="str"/>
      <x:c r="H12" s="32" t="str"/>
    </x:row>
    <x:row r="13">
      <x:c r="A13" s="34" t="str">
        <x:v>Pesquisa de campo</x:v>
      </x:c>
      <x:c r="B13" s="34" t="str">
        <x:v>Parcial até anexar respostas anonimizadas ou coletar novas evidências reais pelo módulo Feedback.</x:v>
      </x:c>
      <x:c r="C13" s="34" t="str"/>
      <x:c r="D13" s="34" t="str"/>
      <x:c r="E13" s="34" t="str"/>
      <x:c r="F13" s="34" t="str"/>
      <x:c r="G13" s="34" t="str"/>
      <x:c r="H13" s="34" t="str"/>
    </x:row>
  </x:sheetData>
  <x:mergeCells>
    <x:mergeCell ref="A1:H1"/>
    <x:mergeCell ref="A10:H10"/>
    <x:mergeCell ref="B11:H11"/>
    <x:mergeCell ref="B12:H12"/>
    <x:mergeCell ref="B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34" hidden="0" customWidth="1"/>
    <x:col min="4" max="4" width="42" hidden="0" customWidth="1"/>
    <x:col min="5" max="5" width="18" hidden="0" customWidth="1"/>
    <x:col min="6" max="6" width="42" hidden="0" customWidth="1"/>
  </x:cols>
  <x:sheetData>
    <x:row r="1" ht="30" customHeight="1">
      <x:c r="A1" s="5" t="str">
        <x:v>Checklist de conformidade - Template Adaptado 2024-2</x:v>
      </x:c>
      <x:c r="B1" s="5" t="str">
        <x:v>Checklist de conformidade - Template Adaptado 2024-2</x:v>
      </x:c>
      <x:c r="C1" s="5" t="str">
        <x:v>Checklist de conformidade - Template Adaptado 2024-2</x:v>
      </x:c>
      <x:c r="D1" s="5" t="str">
        <x:v>Checklist de conformidade - Template Adaptado 2024-2</x:v>
      </x:c>
      <x:c r="E1" s="5" t="str">
        <x:v>Checklist de conformidade - Template Adaptado 2024-2</x:v>
      </x:c>
      <x:c r="F1" s="5" t="str">
        <x:v>Checklist de conformidade - Template Adaptado 2024-2</x:v>
      </x:c>
    </x:row>
    <x:row r="3">
      <x:c r="A3" s="18" t="str">
        <x:v>Item</x:v>
      </x:c>
      <x:c r="B3" s="49" t="str">
        <x:v>Status</x:v>
      </x:c>
      <x:c r="C3" s="49" t="str">
        <x:v>Evidência</x:v>
      </x:c>
      <x:c r="D3" s="49" t="str">
        <x:v>Observação</x:v>
      </x:c>
      <x:c r="E3" s="49" t="str">
        <x:v>Comprovável agora?</x:v>
      </x:c>
      <x:c r="F3" s="19" t="str">
        <x:v>Ação/Pendência</x:v>
      </x:c>
    </x:row>
    <x:row r="4">
      <x:c r="A4" s="32" t="str">
        <x:v>Resumo</x:v>
      </x:c>
      <x:c r="B4" s="32" t="str">
        <x:v>Atendido</x:v>
      </x:c>
      <x:c r="C4" s="32" t="str">
        <x:v>01 Plano / 03 Artigo</x:v>
      </x:c>
      <x:c r="D4" s="32" t="str">
        <x:v>Conteúdo revisado</x:v>
      </x:c>
      <x:c r="E4" s="32" t="str">
        <x:v>Sim</x:v>
      </x:c>
      <x:c r="F4" s="32" t="str"/>
    </x:row>
    <x:row r="5">
      <x:c r="A5" s="32" t="str">
        <x:v>Introdução e justificativa</x:v>
      </x:c>
      <x:c r="B5" s="32" t="str">
        <x:v>Atendido</x:v>
      </x:c>
      <x:c r="C5" s="32" t="str">
        <x:v>01 Plano / 03 Artigo</x:v>
      </x:c>
      <x:c r="D5" s="32" t="str">
        <x:v>Problema, justificativa e objetivos</x:v>
      </x:c>
      <x:c r="E5" s="32" t="str">
        <x:v>Sim</x:v>
      </x:c>
      <x:c r="F5" s="32" t="str"/>
    </x:row>
    <x:row r="6">
      <x:c r="A6" s="32" t="str">
        <x:v>Matriz CSD</x:v>
      </x:c>
      <x:c r="B6" s="32" t="str">
        <x:v>Atendido</x:v>
      </x:c>
      <x:c r="C6" s="32" t="str">
        <x:v>01 Plano</x:v>
      </x:c>
      <x:c r="D6" s="32" t="str">
        <x:v>Análise de mercado</x:v>
      </x:c>
      <x:c r="E6" s="32" t="str">
        <x:v>Sim</x:v>
      </x:c>
      <x:c r="F6" s="32" t="str"/>
    </x:row>
    <x:row r="7">
      <x:c r="A7" s="32" t="str">
        <x:v>Cinco Forças de Porter</x:v>
      </x:c>
      <x:c r="B7" s="32" t="str">
        <x:v>Atendido</x:v>
      </x:c>
      <x:c r="C7" s="32" t="str">
        <x:v>01 Plano / 12 Auditoria Competitiva</x:v>
      </x:c>
      <x:c r="D7" s="32" t="str">
        <x:v>Análise estratégica</x:v>
      </x:c>
      <x:c r="E7" s="32" t="str">
        <x:v>Sim</x:v>
      </x:c>
      <x:c r="F7" s="32" t="str"/>
    </x:row>
    <x:row r="8">
      <x:c r="A8" s="32" t="str">
        <x:v>TAM/SAM/SOM</x:v>
      </x:c>
      <x:c r="B8" s="32" t="str">
        <x:v>Atendido</x:v>
      </x:c>
      <x:c r="C8" s="32" t="str">
        <x:v>01 Plano / 12 Auditoria Competitiva</x:v>
      </x:c>
      <x:c r="D8" s="32" t="str">
        <x:v>TAM nacional; SAM municipal; SOM = 1 piloto</x:v>
      </x:c>
      <x:c r="E8" s="32" t="str">
        <x:v>Sim</x:v>
      </x:c>
      <x:c r="F8" s="32" t="str"/>
    </x:row>
    <x:row r="9">
      <x:c r="A9" s="32" t="str">
        <x:v>Perfil dos usuários</x:v>
      </x:c>
      <x:c r="B9" s="32" t="str">
        <x:v>Atendido</x:v>
      </x:c>
      <x:c r="C9" s="32" t="str">
        <x:v>01 Plano / 05 Pesquisa</x:v>
      </x:c>
      <x:c r="D9" s="32" t="str">
        <x:v>Responsável, Portaria, Gestão</x:v>
      </x:c>
      <x:c r="E9" s="32" t="str">
        <x:v>Sim</x:v>
      </x:c>
      <x:c r="F9" s="32" t="str"/>
    </x:row>
    <x:row r="10">
      <x:c r="A10" s="32" t="str">
        <x:v>Pesquisa de campo</x:v>
      </x:c>
      <x:c r="B10" s="32" t="str">
        <x:v>Parcial</x:v>
      </x:c>
      <x:c r="C10" s="32" t="str">
        <x:v>05 Pesquisa / 11 Termos</x:v>
      </x:c>
      <x:c r="D10" s="32" t="str">
        <x:v>Instrumentos existem; evidência primária antiga não está anexada</x:v>
      </x:c>
      <x:c r="E10" s="32" t="str">
        <x:v>Não</x:v>
      </x:c>
      <x:c r="F10" s="32" t="str">
        <x:v>Executar nova coleta ou anexar evidências anonimizadas</x:v>
      </x:c>
    </x:row>
    <x:row r="11">
      <x:c r="A11" s="32" t="str">
        <x:v>Mapa de empatia</x:v>
      </x:c>
      <x:c r="B11" s="32" t="str">
        <x:v>Atendido</x:v>
      </x:c>
      <x:c r="C11" s="32" t="str">
        <x:v>01 Plano / 05 Pesquisa</x:v>
      </x:c>
      <x:c r="D11" s="32" t="str">
        <x:v>Três perfis</x:v>
      </x:c>
      <x:c r="E11" s="32" t="str">
        <x:v>Sim</x:v>
      </x:c>
      <x:c r="F11" s="32" t="str"/>
    </x:row>
    <x:row r="12">
      <x:c r="A12" s="32" t="str">
        <x:v>Protótipo V1</x:v>
      </x:c>
      <x:c r="B12" s="32" t="str">
        <x:v>Atendido documentalmente</x:v>
      </x:c>
      <x:c r="C12" s="32" t="str">
        <x:v>01 Plano</x:v>
      </x:c>
      <x:c r="D12" s="32" t="str">
        <x:v>Primeira iteração descrita</x:v>
      </x:c>
      <x:c r="E12" s="32" t="str">
        <x:v>Sim</x:v>
      </x:c>
      <x:c r="F12" s="32" t="str">
        <x:v>Anexar wireframes antigos se disponíveis</x:v>
      </x:c>
    </x:row>
    <x:row r="13">
      <x:c r="A13" s="32" t="str">
        <x:v>Melhorias/testes V1</x:v>
      </x:c>
      <x:c r="B13" s="32" t="str">
        <x:v>Atendido</x:v>
      </x:c>
      <x:c r="C13" s="32" t="str">
        <x:v>01 Plano</x:v>
      </x:c>
      <x:c r="D13" s="32" t="str">
        <x:v>Rótulos, perfis, regras e privacidade</x:v>
      </x:c>
      <x:c r="E13" s="32" t="str">
        <x:v>Sim</x:v>
      </x:c>
      <x:c r="F13" s="32" t="str"/>
    </x:row>
    <x:row r="14">
      <x:c r="A14" s="32" t="str">
        <x:v>Protótipo V2</x:v>
      </x:c>
      <x:c r="B14" s="32" t="str">
        <x:v>Atendido</x:v>
      </x:c>
      <x:c r="C14" s="32" t="str">
        <x:v>Safe_Student_MVP</x:v>
      </x:c>
      <x:c r="D14" s="32" t="str">
        <x:v>Interface web responsiva</x:v>
      </x:c>
      <x:c r="E14" s="32" t="str">
        <x:v>Sim</x:v>
      </x:c>
      <x:c r="F14" s="32" t="str"/>
    </x:row>
    <x:row r="15">
      <x:c r="A15" s="32" t="str">
        <x:v>Melhorias/testes V2</x:v>
      </x:c>
      <x:c r="B15" s="32" t="str">
        <x:v>Atendido</x:v>
      </x:c>
      <x:c r="C15" s="32" t="str">
        <x:v>Safe_Student_MVP / 04 Testes</x:v>
      </x:c>
      <x:c r="D15" s="32" t="str">
        <x:v>V1.1 com correções e validação</x:v>
      </x:c>
      <x:c r="E15" s="32" t="str">
        <x:v>Sim</x:v>
      </x:c>
      <x:c r="F15" s="32" t="str"/>
    </x:row>
    <x:row r="16">
      <x:c r="A16" s="32" t="str">
        <x:v>Project Canvas</x:v>
      </x:c>
      <x:c r="B16" s="32" t="str">
        <x:v>Atendido</x:v>
      </x:c>
      <x:c r="C16" s="32" t="str">
        <x:v>01 Plano</x:v>
      </x:c>
      <x:c r="D16" s="32" t="str">
        <x:v>Canvas consolidado</x:v>
      </x:c>
      <x:c r="E16" s="32" t="str">
        <x:v>Sim</x:v>
      </x:c>
      <x:c r="F16" s="32" t="str"/>
    </x:row>
    <x:row r="17">
      <x:c r="A17" s="32" t="str">
        <x:v>Objetivos SMART</x:v>
      </x:c>
      <x:c r="B17" s="32" t="str">
        <x:v>Atendido</x:v>
      </x:c>
      <x:c r="C17" s="32" t="str">
        <x:v>01 Plano</x:v>
      </x:c>
      <x:c r="D17" s="32" t="str">
        <x:v>S/M/A/R/T explícitos</x:v>
      </x:c>
      <x:c r="E17" s="32" t="str">
        <x:v>Sim</x:v>
      </x:c>
      <x:c r="F17" s="32" t="str"/>
    </x:row>
    <x:row r="18">
      <x:c r="A18" s="32" t="str">
        <x:v>Produto e entregas</x:v>
      </x:c>
      <x:c r="B18" s="32" t="str">
        <x:v>Atendido</x:v>
      </x:c>
      <x:c r="C18" s="32" t="str">
        <x:v>01 Plano</x:v>
      </x:c>
      <x:c r="D18" s="32" t="str">
        <x:v>Pacote 01-12</x:v>
      </x:c>
      <x:c r="E18" s="32" t="str">
        <x:v>Sim</x:v>
      </x:c>
      <x:c r="F18" s="32" t="str"/>
    </x:row>
    <x:row r="19">
      <x:c r="A19" s="32" t="str">
        <x:v>Matriz de rastreabilidade</x:v>
      </x:c>
      <x:c r="B19" s="32" t="str">
        <x:v>Atendido</x:v>
      </x:c>
      <x:c r="C19" s="32" t="str">
        <x:v>02 Especificação / esta planilha</x:v>
      </x:c>
      <x:c r="D19" s="32" t="str">
        <x:v>RF/RNF + evidências</x:v>
      </x:c>
      <x:c r="E19" s="32" t="str">
        <x:v>Sim</x:v>
      </x:c>
      <x:c r="F19" s="32" t="str"/>
    </x:row>
    <x:row r="20">
      <x:c r="A20" s="32" t="str">
        <x:v>Premissas</x:v>
      </x:c>
      <x:c r="B20" s="32" t="str">
        <x:v>Atendido</x:v>
      </x:c>
      <x:c r="C20" s="32" t="str">
        <x:v>01 Plano</x:v>
      </x:c>
      <x:c r="D20" s="32" t="str">
        <x:v>PR-01 a PR-04</x:v>
      </x:c>
      <x:c r="E20" s="32" t="str">
        <x:v>Sim</x:v>
      </x:c>
      <x:c r="F20" s="32" t="str"/>
    </x:row>
    <x:row r="21">
      <x:c r="A21" s="32" t="str">
        <x:v>Restrições</x:v>
      </x:c>
      <x:c r="B21" s="32" t="str">
        <x:v>Atendido</x:v>
      </x:c>
      <x:c r="C21" s="32" t="str">
        <x:v>01 Plano</x:v>
      </x:c>
      <x:c r="D21" s="32" t="str">
        <x:v>RE-01 a RE-04</x:v>
      </x:c>
      <x:c r="E21" s="32" t="str">
        <x:v>Sim</x:v>
      </x:c>
      <x:c r="F21" s="32" t="str"/>
    </x:row>
    <x:row r="22">
      <x:c r="A22" s="32" t="str">
        <x:v>EAP</x:v>
      </x:c>
      <x:c r="B22" s="32" t="str">
        <x:v>Atendido</x:v>
      </x:c>
      <x:c r="C22" s="32" t="str">
        <x:v>01 Plano</x:v>
      </x:c>
      <x:c r="D22" s="32" t="str">
        <x:v>5 pacotes de trabalho</x:v>
      </x:c>
      <x:c r="E22" s="32" t="str">
        <x:v>Sim</x:v>
      </x:c>
      <x:c r="F22" s="32" t="str"/>
    </x:row>
    <x:row r="23">
      <x:c r="A23" s="32" t="str">
        <x:v>Atividades e estratégia</x:v>
      </x:c>
      <x:c r="B23" s="32" t="str">
        <x:v>Atendido</x:v>
      </x:c>
      <x:c r="C23" s="32" t="str">
        <x:v>01 Plano</x:v>
      </x:c>
      <x:c r="D23" s="32" t="str">
        <x:v>Pesquisa, requisitos, UX, dev, testes</x:v>
      </x:c>
      <x:c r="E23" s="32" t="str">
        <x:v>Sim</x:v>
      </x:c>
      <x:c r="F23" s="32" t="str"/>
    </x:row>
    <x:row r="24">
      <x:c r="A24" s="32" t="str">
        <x:v>Lista de atividades/duração</x:v>
      </x:c>
      <x:c r="B24" s="32" t="str">
        <x:v>Atendido</x:v>
      </x:c>
      <x:c r="C24" s="32" t="str">
        <x:v>01 Plano</x:v>
      </x:c>
      <x:c r="D24" s="32" t="str">
        <x:v>Cronograma 2026</x:v>
      </x:c>
      <x:c r="E24" s="32" t="str">
        <x:v>Sim</x:v>
      </x:c>
      <x:c r="F24" s="32" t="str"/>
    </x:row>
    <x:row r="25">
      <x:c r="A25" s="32" t="str">
        <x:v>Gantt</x:v>
      </x:c>
      <x:c r="B25" s="32" t="str">
        <x:v>Atendido</x:v>
      </x:c>
      <x:c r="C25" s="32" t="str">
        <x:v>01 Plano</x:v>
      </x:c>
      <x:c r="D25" s="32" t="str">
        <x:v>Março-julho + auditoria V1.1</x:v>
      </x:c>
      <x:c r="E25" s="32" t="str">
        <x:v>Sim</x:v>
      </x:c>
      <x:c r="F25" s="32" t="str"/>
    </x:row>
    <x:row r="26">
      <x:c r="A26" s="32" t="str">
        <x:v>Marcos</x:v>
      </x:c>
      <x:c r="B26" s="32" t="str">
        <x:v>Atendido</x:v>
      </x:c>
      <x:c r="C26" s="32" t="str">
        <x:v>01 Plano</x:v>
      </x:c>
      <x:c r="D26" s="32" t="str">
        <x:v>Marcos de entrega</x:v>
      </x:c>
      <x:c r="E26" s="32" t="str">
        <x:v>Sim</x:v>
      </x:c>
      <x:c r="F26" s="32" t="str"/>
    </x:row>
    <x:row r="27">
      <x:c r="A27" s="32" t="str">
        <x:v>Equipe</x:v>
      </x:c>
      <x:c r="B27" s="32" t="str">
        <x:v>Atendido</x:v>
      </x:c>
      <x:c r="C27" s="32" t="str">
        <x:v>01 Plano</x:v>
      </x:c>
      <x:c r="D27" s="32" t="str">
        <x:v>2 integrantes + professor</x:v>
      </x:c>
      <x:c r="E27" s="32" t="str">
        <x:v>Sim</x:v>
      </x:c>
      <x:c r="F27" s="32" t="str"/>
    </x:row>
    <x:row r="28">
      <x:c r="A28" s="32" t="str">
        <x:v>Matriz de comunicação</x:v>
      </x:c>
      <x:c r="B28" s="32" t="str">
        <x:v>Atendido</x:v>
      </x:c>
      <x:c r="C28" s="32" t="str">
        <x:v>01 Plano</x:v>
      </x:c>
      <x:c r="D28" s="32" t="str">
        <x:v>Periodicidade, canal, responsável</x:v>
      </x:c>
      <x:c r="E28" s="32" t="str">
        <x:v>Sim</x:v>
      </x:c>
      <x:c r="F28" s="32" t="str"/>
    </x:row>
    <x:row r="29">
      <x:c r="A29" s="32" t="str">
        <x:v>Relatórios de progresso</x:v>
      </x:c>
      <x:c r="B29" s="32" t="str">
        <x:v>Atendido</x:v>
      </x:c>
      <x:c r="C29" s="32" t="str">
        <x:v>01 Plano</x:v>
      </x:c>
      <x:c r="D29" s="32" t="str">
        <x:v>Linha do tempo/EAP/Gantt/marcos</x:v>
      </x:c>
      <x:c r="E29" s="32" t="str">
        <x:v>Sim</x:v>
      </x:c>
      <x:c r="F29" s="32" t="str"/>
    </x:row>
    <x:row r="30">
      <x:c r="A30" s="32" t="str">
        <x:v>Partes interessadas</x:v>
      </x:c>
      <x:c r="B30" s="32" t="str">
        <x:v>Atendido</x:v>
      </x:c>
      <x:c r="C30" s="32" t="str">
        <x:v>01 Plano</x:v>
      </x:c>
      <x:c r="D30" s="32" t="str">
        <x:v>Professor, equipe, escola, portaria, responsáveis</x:v>
      </x:c>
      <x:c r="E30" s="32" t="str">
        <x:v>Sim</x:v>
      </x:c>
      <x:c r="F30" s="32" t="str"/>
    </x:row>
    <x:row r="31">
      <x:c r="A31" s="32" t="str">
        <x:v>Mapa de comunicação</x:v>
      </x:c>
      <x:c r="B31" s="32" t="str">
        <x:v>Atendido</x:v>
      </x:c>
      <x:c r="C31" s="32" t="str">
        <x:v>01 Plano</x:v>
      </x:c>
      <x:c r="D31" s="32" t="str">
        <x:v>Stakeholders + estratégia</x:v>
      </x:c>
      <x:c r="E31" s="32" t="str">
        <x:v>Sim</x:v>
      </x:c>
      <x:c r="F31" s="32" t="str"/>
    </x:row>
    <x:row r="32">
      <x:c r="A32" s="32" t="str">
        <x:v>Relação de problemas</x:v>
      </x:c>
      <x:c r="B32" s="32" t="str">
        <x:v>Atendido</x:v>
      </x:c>
      <x:c r="C32" s="32" t="str">
        <x:v>01 Plano</x:v>
      </x:c>
      <x:c r="D32" s="32" t="str">
        <x:v>P01-P06</x:v>
      </x:c>
      <x:c r="E32" s="32" t="str">
        <x:v>Sim</x:v>
      </x:c>
      <x:c r="F32" s="32" t="str"/>
    </x:row>
    <x:row r="33">
      <x:c r="A33" s="32" t="str">
        <x:v>Riscos causa/consequência</x:v>
      </x:c>
      <x:c r="B33" s="32" t="str">
        <x:v>Atendido</x:v>
      </x:c>
      <x:c r="C33" s="32" t="str">
        <x:v>01 Plano / aba Riscos</x:v>
      </x:c>
      <x:c r="D33" s="32" t="str">
        <x:v>R01-R10</x:v>
      </x:c>
      <x:c r="E33" s="32" t="str">
        <x:v>Sim</x:v>
      </x:c>
      <x:c r="F33" s="32" t="str"/>
    </x:row>
    <x:row r="34">
      <x:c r="A34" s="32" t="str">
        <x:v>Avaliação e respostas aos riscos</x:v>
      </x:c>
      <x:c r="B34" s="32" t="str">
        <x:v>Atendido</x:v>
      </x:c>
      <x:c r="C34" s="32" t="str">
        <x:v>01 Plano / aba Riscos</x:v>
      </x:c>
      <x:c r="D34" s="32" t="str">
        <x:v>Probabilidade x impacto + contingência</x:v>
      </x:c>
      <x:c r="E34" s="32" t="str">
        <x:v>Sim</x:v>
      </x:c>
      <x:c r="F34" s="32" t="str"/>
    </x:row>
    <x:row r="35">
      <x:c r="A35" s="32" t="str">
        <x:v>Monitoramento e controle</x:v>
      </x:c>
      <x:c r="B35" s="32" t="str">
        <x:v>Atendido</x:v>
      </x:c>
      <x:c r="C35" s="32" t="str">
        <x:v>01 Plano</x:v>
      </x:c>
      <x:c r="D35" s="32" t="str">
        <x:v>Marcos, testes, checklist</x:v>
      </x:c>
      <x:c r="E35" s="32" t="str">
        <x:v>Sim</x:v>
      </x:c>
      <x:c r="F35" s="32" t="str"/>
    </x:row>
    <x:row r="36">
      <x:c r="A36" s="32" t="str">
        <x:v>Controle integrado de mudanças</x:v>
      </x:c>
      <x:c r="B36" s="32" t="str">
        <x:v>Atendido</x:v>
      </x:c>
      <x:c r="C36" s="32" t="str">
        <x:v>01 Plano</x:v>
      </x:c>
      <x:c r="D36" s="32" t="str">
        <x:v>MUD-01 a MUD-05</x:v>
      </x:c>
      <x:c r="E36" s="32" t="str">
        <x:v>Sim</x:v>
      </x:c>
      <x:c r="F36" s="32" t="str"/>
    </x:row>
    <x:row r="37">
      <x:c r="A37" s="32" t="str">
        <x:v>Lições aprendidas</x:v>
      </x:c>
      <x:c r="B37" s="32" t="str">
        <x:v>Atendido</x:v>
      </x:c>
      <x:c r="C37" s="32" t="str">
        <x:v>01 Plano</x:v>
      </x:c>
      <x:c r="D37" s="32" t="str">
        <x:v>Lições consolidadas</x:v>
      </x:c>
      <x:c r="E37" s="32" t="str">
        <x:v>Sim</x:v>
      </x:c>
      <x:c r="F37" s="32" t="str"/>
    </x:row>
    <x:row r="38">
      <x:c r="A38" s="34" t="str">
        <x:v>3 a 5 funcionalidades essenciais</x:v>
      </x:c>
      <x:c r="B38" s="34" t="str">
        <x:v>Atendido</x:v>
      </x:c>
      <x:c r="C38" s="34" t="str">
        <x:v>01 Plano / README / MVP</x:v>
      </x:c>
      <x:c r="D38" s="34" t="str">
        <x:v>Exatamente 5 funções essenciais</x:v>
      </x:c>
      <x:c r="E38" s="34" t="str">
        <x:v>Sim</x:v>
      </x:c>
      <x:c r="F38" s="34" t="str"/>
    </x:row>
  </x:sheetData>
  <x:mergeCells>
    <x:mergeCell ref="A1:F1"/>
  </x:mergeCells>
  <x:conditionalFormatting sqref="B4:B38">
    <x:cfRule type="expression" dxfId="0" priority="1">
      <x:formula>B4="Parcial"</x:formula>
    </x:cfRule>
    <x:cfRule type="expression" dxfId="1" priority="2">
      <x:formula>LEFT(B4,8)="Atendido"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e076fbd045456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4" hidden="0" customWidth="1"/>
    <x:col min="4" max="4" width="22" hidden="0" customWidth="1"/>
    <x:col min="5" max="5" width="38" hidden="0" customWidth="1"/>
    <x:col min="6" max="6" width="28" hidden="0" customWidth="1"/>
    <x:col min="7" max="7" width="40" hidden="0" customWidth="1"/>
    <x:col min="8" max="8" width="16" hidden="0" customWidth="1"/>
  </x:cols>
  <x:sheetData>
    <x:row r="1" ht="30" customHeight="1">
      <x:c r="A1" s="5" t="str">
        <x:v>Matriz de rastreabilidade - cinco funções essenciais e requisitos</x:v>
      </x:c>
      <x:c r="B1" s="5" t="str">
        <x:v>Matriz de rastreabilidade - cinco funções essenciais e requisitos</x:v>
      </x:c>
      <x:c r="C1" s="5" t="str">
        <x:v>Matriz de rastreabilidade - cinco funções essenciais e requisitos</x:v>
      </x:c>
      <x:c r="D1" s="5" t="str">
        <x:v>Matriz de rastreabilidade - cinco funções essenciais e requisitos</x:v>
      </x:c>
      <x:c r="E1" s="5" t="str">
        <x:v>Matriz de rastreabilidade - cinco funções essenciais e requisitos</x:v>
      </x:c>
      <x:c r="F1" s="5" t="str">
        <x:v>Matriz de rastreabilidade - cinco funções essenciais e requisitos</x:v>
      </x:c>
      <x:c r="G1" s="5" t="str">
        <x:v>Matriz de rastreabilidade - cinco funções essenciais e requisitos</x:v>
      </x:c>
      <x:c r="H1" s="5" t="str">
        <x:v>Matriz de rastreabilidade - cinco funções essenciais e requisitos</x:v>
      </x:c>
    </x:row>
    <x:row r="3">
      <x:c r="A3" s="18" t="str">
        <x:v>Função</x:v>
      </x:c>
      <x:c r="B3" s="49" t="str">
        <x:v>Funcionalidade essencial</x:v>
      </x:c>
      <x:c r="C3" s="49" t="str">
        <x:v>RF associados</x:v>
      </x:c>
      <x:c r="D3" s="49" t="str">
        <x:v>RNF associados</x:v>
      </x:c>
      <x:c r="E3" s="49" t="str">
        <x:v>Rotas/artefatos</x:v>
      </x:c>
      <x:c r="F3" s="49" t="str">
        <x:v>Testes</x:v>
      </x:c>
      <x:c r="G3" s="49" t="str">
        <x:v>Critério de aceite</x:v>
      </x:c>
      <x:c r="H3" s="19" t="str">
        <x:v>Status</x:v>
      </x:c>
    </x:row>
    <x:row r="4">
      <x:c r="A4" s="32" t="str">
        <x:v>F01</x:v>
      </x:c>
      <x:c r="B4" s="32" t="str">
        <x:v>Autenticação e RBAC</x:v>
      </x:c>
      <x:c r="C4" s="32" t="str">
        <x:v>RF-01, RF-02</x:v>
      </x:c>
      <x:c r="D4" s="32" t="str">
        <x:v>RNF-03, RNF-08</x:v>
      </x:c>
      <x:c r="E4" s="32" t="str">
        <x:v>/api/login, /api/me</x:v>
      </x:c>
      <x:c r="F4" s="32" t="str">
        <x:v>UT-02; API-02; API-03</x:v>
      </x:c>
      <x:c r="G4" s="32" t="str">
        <x:v>Login e escopo por perfil</x:v>
      </x:c>
      <x:c r="H4" s="32" t="str">
        <x:v>Implementado</x:v>
      </x:c>
    </x:row>
    <x:row r="5">
      <x:c r="A5" s="32" t="str">
        <x:v>F02</x:v>
      </x:c>
      <x:c r="B5" s="32" t="str">
        <x:v>Cadastro/vínculo aluno-responsável</x:v>
      </x:c>
      <x:c r="C5" s="32" t="str">
        <x:v>RF-03, RF-04</x:v>
      </x:c>
      <x:c r="D5" s="32" t="str">
        <x:v>RNF-04, RNF-12</x:v>
      </x:c>
      <x:c r="E5" s="32" t="str">
        <x:v>/api/students, /api/links</x:v>
      </x:c>
      <x:c r="F5" s="32" t="str">
        <x:v>Teste funcional CT-02</x:v>
      </x:c>
      <x:c r="G5" s="32" t="str">
        <x:v>Responsável vê apenas vinculados</x:v>
      </x:c>
      <x:c r="H5" s="32" t="str">
        <x:v>Implementado</x:v>
      </x:c>
    </x:row>
    <x:row r="6">
      <x:c r="A6" s="32" t="str">
        <x:v>F03</x:v>
      </x:c>
      <x:c r="B6" s="32" t="str">
        <x:v>Entrada/saída por QR/token</x:v>
      </x:c>
      <x:c r="C6" s="32" t="str">
        <x:v>RF-05, RF-06</x:v>
      </x:c>
      <x:c r="D6" s="32" t="str">
        <x:v>RNF-11, RNF-12</x:v>
      </x:c>
      <x:c r="E6" s="32" t="str">
        <x:v>/api/attendance</x:v>
      </x:c>
      <x:c r="F6" s="32" t="str">
        <x:v>UT-05 a UT-07; API-04</x:v>
      </x:c>
      <x:c r="G6" s="32" t="str">
        <x:v>Sequência válida no dia escolar</x:v>
      </x:c>
      <x:c r="H6" s="32" t="str">
        <x:v>Implementado</x:v>
      </x:c>
    </x:row>
    <x:row r="7">
      <x:c r="A7" s="32" t="str">
        <x:v>F04</x:v>
      </x:c>
      <x:c r="B7" s="32" t="str">
        <x:v>Notificação automática</x:v>
      </x:c>
      <x:c r="C7" s="32" t="str">
        <x:v>RF-07</x:v>
      </x:c>
      <x:c r="D7" s="32" t="str">
        <x:v>RNF-08</x:v>
      </x:c>
      <x:c r="E7" s="32" t="str">
        <x:v>/api/dashboard, /api/notifications</x:v>
      </x:c>
      <x:c r="F7" s="32" t="str">
        <x:v>API-04 + CT-03/CT-05</x:v>
      </x:c>
      <x:c r="G7" s="32" t="str">
        <x:v>Notificação gerada ao responsável</x:v>
      </x:c>
      <x:c r="H7" s="32" t="str">
        <x:v>Implementado</x:v>
      </x:c>
    </x:row>
    <x:row r="8">
      <x:c r="A8" s="34" t="str">
        <x:v>F05</x:v>
      </x:c>
      <x:c r="B8" s="34" t="str">
        <x:v>Rastreabilidade: histórico/relatório/auditoria</x:v>
      </x:c>
      <x:c r="C8" s="34" t="str">
        <x:v>RF-08, RF-09, RF-10, RF-12</x:v>
      </x:c>
      <x:c r="D8" s="34" t="str">
        <x:v>RNF-08, RNF-14</x:v>
      </x:c>
      <x:c r="E8" s="34" t="str">
        <x:v>/api/reports, /api/reports.csv, /api/audit</x:v>
      </x:c>
      <x:c r="F8" s="34" t="str">
        <x:v>API-06; CT-06; CT-09</x:v>
      </x:c>
      <x:c r="G8" s="34" t="str">
        <x:v>CSV autenticado e trilha auditável</x:v>
      </x:c>
      <x:c r="H8" s="34" t="str">
        <x:v>Implementado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9a10cc7587143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8" hidden="0" customWidth="1"/>
    <x:col min="5" max="5" width="7" hidden="0" customWidth="1"/>
    <x:col min="6" max="6" width="7" hidden="0" customWidth="1"/>
    <x:col min="7" max="7" width="9" hidden="0" customWidth="1"/>
    <x:col min="8" max="8" width="12" hidden="0" customWidth="1"/>
    <x:col min="9" max="9" width="14" hidden="0" customWidth="1"/>
    <x:col min="10" max="10" width="35" hidden="0" customWidth="1"/>
    <x:col min="11" max="11" width="38" hidden="0" customWidth="1"/>
    <x:col min="12" max="12" width="14" hidden="0" customWidth="1"/>
  </x:cols>
  <x:sheetData>
    <x:row r="1" ht="30" customHeight="1">
      <x:c r="A1" s="5" t="str">
        <x:v>Matriz de riscos - Safe Student V1.1</x:v>
      </x:c>
      <x:c r="B1" s="5" t="str">
        <x:v>Matriz de riscos - Safe Student V1.1</x:v>
      </x:c>
      <x:c r="C1" s="5" t="str">
        <x:v>Matriz de riscos - Safe Student V1.1</x:v>
      </x:c>
      <x:c r="D1" s="5" t="str">
        <x:v>Matriz de riscos - Safe Student V1.1</x:v>
      </x:c>
      <x:c r="E1" s="5" t="str">
        <x:v>Matriz de riscos - Safe Student V1.1</x:v>
      </x:c>
      <x:c r="F1" s="5" t="str">
        <x:v>Matriz de riscos - Safe Student V1.1</x:v>
      </x:c>
      <x:c r="G1" s="5" t="str">
        <x:v>Matriz de riscos - Safe Student V1.1</x:v>
      </x:c>
      <x:c r="H1" s="5" t="str">
        <x:v>Matriz de riscos - Safe Student V1.1</x:v>
      </x:c>
      <x:c r="I1" s="5" t="str">
        <x:v>Matriz de riscos - Safe Student V1.1</x:v>
      </x:c>
      <x:c r="J1" s="5" t="str">
        <x:v>Matriz de riscos - Safe Student V1.1</x:v>
      </x:c>
      <x:c r="K1" s="5" t="str">
        <x:v>Matriz de riscos - Safe Student V1.1</x:v>
      </x:c>
      <x:c r="L1" s="5" t="str">
        <x:v>Matriz de riscos - Safe Student V1.1</x:v>
      </x:c>
    </x:row>
    <x:row r="3">
      <x:c r="A3" s="18" t="str">
        <x:v>ID</x:v>
      </x:c>
      <x:c r="B3" s="49" t="str">
        <x:v>Risco</x:v>
      </x:c>
      <x:c r="C3" s="49" t="str">
        <x:v>Causa</x:v>
      </x:c>
      <x:c r="D3" s="49" t="str">
        <x:v>Consequência</x:v>
      </x:c>
      <x:c r="E3" s="49" t="str">
        <x:v>P</x:v>
      </x:c>
      <x:c r="F3" s="49" t="str">
        <x:v>I</x:v>
      </x:c>
      <x:c r="G3" s="49" t="str">
        <x:v>Score</x:v>
      </x:c>
      <x:c r="H3" s="49" t="str">
        <x:v>Classe</x:v>
      </x:c>
      <x:c r="I3" s="49" t="str">
        <x:v>Responsável</x:v>
      </x:c>
      <x:c r="J3" s="49" t="str">
        <x:v>Prevenção</x:v>
      </x:c>
      <x:c r="K3" s="49" t="str">
        <x:v>Contingência</x:v>
      </x:c>
      <x:c r="L3" s="19" t="str">
        <x:v>Status</x:v>
      </x:c>
    </x:row>
    <x:row r="4">
      <x:c r="A4" s="32" t="str">
        <x:v>R01</x:v>
      </x:c>
      <x:c r="B4" s="32" t="str">
        <x:v>Ausência de parceiro escolar formal</x:v>
      </x:c>
      <x:c r="C4" s="32" t="str">
        <x:v>Demora na anuência institucional</x:v>
      </x:c>
      <x:c r="D4" s="32" t="str">
        <x:v>Validação real não executada</x:v>
      </x:c>
      <x:c r="E4" s="32" t="n">
        <x:v>4</x:v>
      </x:c>
      <x:c r="F4" s="32" t="n">
        <x:v>5</x:v>
      </x:c>
      <x:c r="G4" s="32" t="n">
        <x:f>E4*F4</x:f>
        <x:v>20</x:v>
      </x:c>
      <x:c r="H4" s="32" t="str">
        <x:v>Crítico</x:v>
      </x:c>
      <x:c r="I4" s="32" t="str">
        <x:v>Gerente</x:v>
      </x:c>
      <x:c r="J4" s="32" t="str">
        <x:v>Confirmar agenda/termos</x:v>
      </x:c>
      <x:c r="K4" s="32" t="str">
        <x:v>Executar validação controlada; replanejar piloto</x:v>
      </x:c>
      <x:c r="L4" s="32" t="str">
        <x:v>Monitorado</x:v>
      </x:c>
    </x:row>
    <x:row r="5">
      <x:c r="A5" s="32" t="str">
        <x:v>R02</x:v>
      </x:c>
      <x:c r="B5" s="32" t="str">
        <x:v>Expansão indevida do escopo</x:v>
      </x:c>
      <x:c r="C5" s="32" t="str">
        <x:v>Inclusão de biometria/NFC/notas</x:v>
      </x:c>
      <x:c r="D5" s="32" t="str">
        <x:v>Atraso e complexidade</x:v>
      </x:c>
      <x:c r="E5" s="32" t="n">
        <x:v>4</x:v>
      </x:c>
      <x:c r="F5" s="32" t="n">
        <x:v>4</x:v>
      </x:c>
      <x:c r="G5" s="32" t="n">
        <x:f>E5*F5</x:f>
        <x:v>16</x:v>
      </x:c>
      <x:c r="H5" s="32" t="str">
        <x:v>Crítico</x:v>
      </x:c>
      <x:c r="I5" s="32" t="str">
        <x:v>Gerente</x:v>
      </x:c>
      <x:c r="J5" s="32" t="str">
        <x:v>Congelar 5 funções essenciais</x:v>
      </x:c>
      <x:c r="K5" s="32" t="str">
        <x:v>Aplicar controle de mudanças</x:v>
      </x:c>
      <x:c r="L5" s="32" t="str">
        <x:v>Monitorado</x:v>
      </x:c>
    </x:row>
    <x:row r="6">
      <x:c r="A6" s="32" t="str">
        <x:v>R03</x:v>
      </x:c>
      <x:c r="B6" s="32" t="str">
        <x:v>Tratamento inadequado de dados</x:v>
      </x:c>
      <x:c r="C6" s="32" t="str">
        <x:v>Governança insuficiente</x:v>
      </x:c>
      <x:c r="D6" s="32" t="str">
        <x:v>Risco jurídico/reputacional</x:v>
      </x:c>
      <x:c r="E6" s="32" t="n">
        <x:v>3</x:v>
      </x:c>
      <x:c r="F6" s="32" t="n">
        <x:v>5</x:v>
      </x:c>
      <x:c r="G6" s="32" t="n">
        <x:f>E6*F6</x:f>
        <x:v>15</x:v>
      </x:c>
      <x:c r="H6" s="32" t="str">
        <x:v>Crítico</x:v>
      </x:c>
      <x:c r="I6" s="32" t="str">
        <x:v>Gerente</x:v>
      </x:c>
      <x:c r="J6" s="32" t="str">
        <x:v>Minimização e dados fictícios</x:v>
      </x:c>
      <x:c r="K6" s="32" t="str">
        <x:v>Bloquear coleta real sem autorização</x:v>
      </x:c>
      <x:c r="L6" s="32" t="str">
        <x:v>Monitorado</x:v>
      </x:c>
    </x:row>
    <x:row r="7">
      <x:c r="A7" s="32" t="str">
        <x:v>R04</x:v>
      </x:c>
      <x:c r="B7" s="32" t="str">
        <x:v>Baixa adesão dos usuários</x:v>
      </x:c>
      <x:c r="C7" s="32" t="str">
        <x:v>Treinamento/percepção de valor</x:v>
      </x:c>
      <x:c r="D7" s="32" t="str">
        <x:v>Feedback insuficiente</x:v>
      </x:c>
      <x:c r="E7" s="32" t="n">
        <x:v>3</x:v>
      </x:c>
      <x:c r="F7" s="32" t="n">
        <x:v>4</x:v>
      </x:c>
      <x:c r="G7" s="32" t="n">
        <x:f>E7*F7</x:f>
        <x:v>12</x:v>
      </x:c>
      <x:c r="H7" s="32" t="str">
        <x:v>Alto</x:v>
      </x:c>
      <x:c r="I7" s="32" t="str">
        <x:v>Equipe</x:v>
      </x:c>
      <x:c r="J7" s="32" t="str">
        <x:v>Roteiro curto e tarefas claras</x:v>
      </x:c>
      <x:c r="K7" s="32" t="str">
        <x:v>Simplificar interface e repetir teste</x:v>
      </x:c>
      <x:c r="L7" s="32" t="str">
        <x:v>Monitorado</x:v>
      </x:c>
    </x:row>
    <x:row r="8">
      <x:c r="A8" s="32" t="str">
        <x:v>R05</x:v>
      </x:c>
      <x:c r="B8" s="32" t="str">
        <x:v>Inconsistência documental</x:v>
      </x:c>
      <x:c r="C8" s="32" t="str">
        <x:v>Documentos divergentes</x:v>
      </x:c>
      <x:c r="D8" s="32" t="str">
        <x:v>Perda de coerência/pontos</x:v>
      </x:c>
      <x:c r="E8" s="32" t="n">
        <x:v>3</x:v>
      </x:c>
      <x:c r="F8" s="32" t="n">
        <x:v>4</x:v>
      </x:c>
      <x:c r="G8" s="32" t="n">
        <x:f>E8*F8</x:f>
        <x:v>12</x:v>
      </x:c>
      <x:c r="H8" s="32" t="str">
        <x:v>Alto</x:v>
      </x:c>
      <x:c r="I8" s="32" t="str">
        <x:v>Gerente</x:v>
      </x:c>
      <x:c r="J8" s="32" t="str">
        <x:v>Documento mestre/checklist</x:v>
      </x:c>
      <x:c r="K8" s="32" t="str">
        <x:v>Revisar e republicar pacote</x:v>
      </x:c>
      <x:c r="L8" s="32" t="str">
        <x:v>Monitorado</x:v>
      </x:c>
    </x:row>
    <x:row r="9">
      <x:c r="A9" s="32" t="str">
        <x:v>R06</x:v>
      </x:c>
      <x:c r="B9" s="32" t="str">
        <x:v>Requisitos ambíguos</x:v>
      </x:c>
      <x:c r="C9" s="32" t="str">
        <x:v>Elicitação incompleta</x:v>
      </x:c>
      <x:c r="D9" s="32" t="str">
        <x:v>MVP desalinhado</x:v>
      </x:c>
      <x:c r="E9" s="32" t="n">
        <x:v>3</x:v>
      </x:c>
      <x:c r="F9" s="32" t="n">
        <x:v>4</x:v>
      </x:c>
      <x:c r="G9" s="32" t="n">
        <x:f>E9*F9</x:f>
        <x:v>12</x:v>
      </x:c>
      <x:c r="H9" s="32" t="str">
        <x:v>Alto</x:v>
      </x:c>
      <x:c r="I9" s="32" t="str">
        <x:v>Equipe</x:v>
      </x:c>
      <x:c r="J9" s="32" t="str">
        <x:v>Critérios de aceite e rastreabilidade</x:v>
      </x:c>
      <x:c r="K9" s="32" t="str">
        <x:v>Reescrever requisito/teste</x:v>
      </x:c>
      <x:c r="L9" s="32" t="str">
        <x:v>Monitorado</x:v>
      </x:c>
    </x:row>
    <x:row r="10">
      <x:c r="A10" s="32" t="str">
        <x:v>R07</x:v>
      </x:c>
      <x:c r="B10" s="32" t="str">
        <x:v>Falha técnica no MVP</x:v>
      </x:c>
      <x:c r="C10" s="32" t="str">
        <x:v>Defeito/ambiente</x:v>
      </x:c>
      <x:c r="D10" s="32" t="str">
        <x:v>Demonstração interrompida</x:v>
      </x:c>
      <x:c r="E10" s="32" t="n">
        <x:v>3</x:v>
      </x:c>
      <x:c r="F10" s="32" t="n">
        <x:v>4</x:v>
      </x:c>
      <x:c r="G10" s="32" t="n">
        <x:f>E10*F10</x:f>
        <x:v>12</x:v>
      </x:c>
      <x:c r="H10" s="32" t="str">
        <x:v>Alto</x:v>
      </x:c>
      <x:c r="I10" s="32" t="str">
        <x:v>Equipe</x:v>
      </x:c>
      <x:c r="J10" s="32" t="str">
        <x:v>npm test + CI + reset</x:v>
      </x:c>
      <x:c r="K10" s="32" t="str">
        <x:v>Ambiente reserva e restauração</x:v>
      </x:c>
      <x:c r="L10" s="32" t="str">
        <x:v>Monitorado</x:v>
      </x:c>
    </x:row>
    <x:row r="11">
      <x:c r="A11" s="32" t="str">
        <x:v>R08</x:v>
      </x:c>
      <x:c r="B11" s="32" t="str">
        <x:v>Atraso de atividades</x:v>
      </x:c>
      <x:c r="C11" s="32" t="str">
        <x:v>Agenda/retrabalho</x:v>
      </x:c>
      <x:c r="D11" s="32" t="str">
        <x:v>Entrega incompleta</x:v>
      </x:c>
      <x:c r="E11" s="32" t="n">
        <x:v>3</x:v>
      </x:c>
      <x:c r="F11" s="32" t="n">
        <x:v>3</x:v>
      </x:c>
      <x:c r="G11" s="32" t="n">
        <x:f>E11*F11</x:f>
        <x:v>9</x:v>
      </x:c>
      <x:c r="H11" s="32" t="str">
        <x:v>Moderado</x:v>
      </x:c>
      <x:c r="I11" s="32" t="str">
        <x:v>Gerente</x:v>
      </x:c>
      <x:c r="J11" s="32" t="str">
        <x:v>Acompanhar marcos</x:v>
      </x:c>
      <x:c r="K11" s="32" t="str">
        <x:v>Reduzir escopo não essencial</x:v>
      </x:c>
      <x:c r="L11" s="32" t="str">
        <x:v>Monitorado</x:v>
      </x:c>
    </x:row>
    <x:row r="12">
      <x:c r="A12" s="32" t="str">
        <x:v>R09</x:v>
      </x:c>
      <x:c r="B12" s="32" t="str">
        <x:v>Cobertura insuficiente de testes</x:v>
      </x:c>
      <x:c r="C12" s="32" t="str">
        <x:v>Tempo limitado</x:v>
      </x:c>
      <x:c r="D12" s="32" t="str">
        <x:v>Defeitos não detectados</x:v>
      </x:c>
      <x:c r="E12" s="32" t="n">
        <x:v>3</x:v>
      </x:c>
      <x:c r="F12" s="32" t="n">
        <x:v>4</x:v>
      </x:c>
      <x:c r="G12" s="32" t="n">
        <x:f>E12*F12</x:f>
        <x:v>12</x:v>
      </x:c>
      <x:c r="H12" s="32" t="str">
        <x:v>Alto</x:v>
      </x:c>
      <x:c r="I12" s="32" t="str">
        <x:v>Equipe</x:v>
      </x:c>
      <x:c r="J12" s="32" t="str">
        <x:v>Suíte 19 testes + CI</x:v>
      </x:c>
      <x:c r="K12" s="32" t="str">
        <x:v>Criar caso adicional e repetir fluxo</x:v>
      </x:c>
      <x:c r="L12" s="32" t="str">
        <x:v>Monitorado</x:v>
      </x:c>
    </x:row>
    <x:row r="13">
      <x:c r="A13" s="34" t="str">
        <x:v>R10</x:v>
      </x:c>
      <x:c r="B13" s="34" t="str">
        <x:v>Não conformidade ABNT/template</x:v>
      </x:c>
      <x:c r="C13" s="34" t="str">
        <x:v>Formatação/seção ausente</x:v>
      </x:c>
      <x:c r="D13" s="34" t="str">
        <x:v>Perda de pontuação</x:v>
      </x:c>
      <x:c r="E13" s="34" t="n">
        <x:v>2</x:v>
      </x:c>
      <x:c r="F13" s="34" t="n">
        <x:v>4</x:v>
      </x:c>
      <x:c r="G13" s="34" t="n">
        <x:f>E13*F13</x:f>
        <x:v>8</x:v>
      </x:c>
      <x:c r="H13" s="34" t="str">
        <x:v>Moderado</x:v>
      </x:c>
      <x:c r="I13" s="34" t="str">
        <x:v>Gerente</x:v>
      </x:c>
      <x:c r="J13" s="34" t="str">
        <x:v>Revisão e checklist</x:v>
      </x:c>
      <x:c r="K13" s="34" t="str">
        <x:v>Corrigir documento/PDF</x:v>
      </x:c>
      <x:c r="L13" s="34" t="str">
        <x:v>Monitorado</x:v>
      </x:c>
    </x:row>
  </x:sheetData>
  <x:mergeCells>
    <x:mergeCell ref="A1:L1"/>
  </x:mergeCells>
  <x:conditionalFormatting sqref="G4:G13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c5505be77a34ec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6" hidden="0" customWidth="1"/>
    <x:col min="3" max="3" width="38" hidden="0" customWidth="1"/>
  </x:cols>
  <x:sheetData>
    <x:row r="1" ht="30" customHeight="1">
      <x:c r="A1" s="5" t="str">
        <x:v>Fontes e observações</x:v>
      </x:c>
      <x:c r="B1" s="5" t="str">
        <x:v>Fontes e observações</x:v>
      </x:c>
      <x:c r="C1" s="5" t="str">
        <x:v>Fontes e observações</x:v>
      </x:c>
    </x:row>
    <x:row r="3">
      <x:c r="A3" s="18" t="str">
        <x:v>Tema</x:v>
      </x:c>
      <x:c r="B3" s="49" t="str">
        <x:v>Fonte/URL</x:v>
      </x:c>
      <x:c r="C3" s="19" t="str">
        <x:v>Uso</x:v>
      </x:c>
    </x:row>
    <x:row r="4">
      <x:c r="A4" s="32" t="str">
        <x:v>Template 2024-2</x:v>
      </x:c>
      <x:c r="B4" s="32" t="str">
        <x:v>Material fornecido na disciplina</x:v>
      </x:c>
      <x:c r="C4" s="32" t="str">
        <x:v>Matriz de conformidade</x:v>
      </x:c>
    </x:row>
    <x:row r="5">
      <x:c r="A5" s="32" t="str">
        <x:v>MVP</x:v>
      </x:c>
      <x:c r="B5" s="32" t="str">
        <x:v>MVP_e-book_v5.pdf - material fornecido</x:v>
      </x:c>
      <x:c r="C5" s="32" t="str">
        <x:v>Critérios de mínimo/viável/validação</x:v>
      </x:c>
    </x:row>
    <x:row r="6">
      <x:c r="A6" s="32" t="str">
        <x:v>Normalização</x:v>
      </x:c>
      <x:c r="B6" s="32" t="str">
        <x:v>https://biblioteca.ufes.br/normalizacao</x:v>
      </x:c>
      <x:c r="C6" s="32" t="str">
        <x:v>Edições atuais de NBR 14724/10520/6023</x:v>
      </x:c>
    </x:row>
    <x:row r="7">
      <x:c r="A7" s="32" t="str">
        <x:v>Segurança web</x:v>
      </x:c>
      <x:c r="B7" s="32" t="str">
        <x:v>https://owasp.org/www-project-application-security-verification-standard/</x:v>
      </x:c>
      <x:c r="C7" s="32" t="str">
        <x:v>Referência ASVS</x:v>
      </x:c>
    </x:row>
    <x:row r="8">
      <x:c r="A8" s="32" t="str">
        <x:v>Censo Escolar</x:v>
      </x:c>
      <x:c r="B8" s="32" t="str">
        <x:v>https://www.gov.br/inep/pt-br/acesso-a-informacao/dados-abertos/microdados/censo-escolar</x:v>
      </x:c>
      <x:c r="C8" s="32" t="str">
        <x:v>TAM nacional</x:v>
      </x:c>
    </x:row>
    <x:row r="9">
      <x:c r="A9" s="34" t="str">
        <x:v>Rede municipal</x:v>
      </x:c>
      <x:c r="B9" s="34" t="str">
        <x:v>https://www.saquarema.rj.gov.br/</x:v>
      </x:c>
      <x:c r="C9" s="34" t="str">
        <x:v>SAM municipal</x:v>
      </x:c>
    </x:row>
  </x:sheetData>
  <x:mergeCells>
    <x:mergeCell ref="A1:C1"/>
  </x:mergeCells>
  <x:pageMargins left="0.7" right="0.7" top="0.75" bottom="0.75" header="0.3" footer="0.3"/>
</x:worksheet>
</file>